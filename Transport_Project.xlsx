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xr:revisionPtr revIDLastSave="0" documentId="13_ncr:1_{DA74C5E5-A426-4B4A-A51F-ED33A394B92D}" xr6:coauthVersionLast="47" xr6:coauthVersionMax="47" xr10:uidLastSave="{00000000-0000-0000-0000-000000000000}"/>
  <bookViews>
    <workbookView xWindow="-110" yWindow="-110" windowWidth="19420" windowHeight="10560" activeTab="3" xr2:uid="{A1247587-4587-4A48-A415-42B2F6D0406A}"/>
  </bookViews>
  <sheets>
    <sheet name="Raw_data" sheetId="1" r:id="rId1"/>
    <sheet name="Solver_method" sheetId="2" r:id="rId2"/>
    <sheet name="NW_method" sheetId="3" r:id="rId3"/>
    <sheet name="VAM_method" sheetId="4" r:id="rId4"/>
  </sheets>
  <definedNames>
    <definedName name="solver_adj" localSheetId="1" hidden="1">Solver_method!$B$12:$G$15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Solver_method!$B$12:$G$15</definedName>
    <definedName name="solver_lhs2" localSheetId="1" hidden="1">Solver_method!$B$8:$G$8</definedName>
    <definedName name="solver_lhs3" localSheetId="1" hidden="1">Solver_method!$H$4:$H$7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Solver_method!$M$3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el3" localSheetId="1" hidden="1">1</definedName>
    <definedName name="solver_rhs1" localSheetId="1" hidden="1">0</definedName>
    <definedName name="solver_rhs2" localSheetId="1" hidden="1">Solver_method!$B$16:$G$16</definedName>
    <definedName name="solver_rhs3" localSheetId="1" hidden="1">Solver_method!$H$12:$H$15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4" l="1"/>
  <c r="Q14" i="4"/>
  <c r="F25" i="4"/>
  <c r="P15" i="4"/>
  <c r="P14" i="4"/>
  <c r="P12" i="4"/>
  <c r="F24" i="4"/>
  <c r="F23" i="4"/>
  <c r="D23" i="4"/>
  <c r="O15" i="4"/>
  <c r="O14" i="4"/>
  <c r="O12" i="4"/>
  <c r="F22" i="4"/>
  <c r="D22" i="4"/>
  <c r="N15" i="4"/>
  <c r="N14" i="4"/>
  <c r="N13" i="4"/>
  <c r="N12" i="4"/>
  <c r="F21" i="4"/>
  <c r="E21" i="4"/>
  <c r="D21" i="4"/>
  <c r="M15" i="4"/>
  <c r="M14" i="4"/>
  <c r="M13" i="4"/>
  <c r="M12" i="4"/>
  <c r="F20" i="4"/>
  <c r="E20" i="4"/>
  <c r="D20" i="4"/>
  <c r="C20" i="4"/>
  <c r="L15" i="4"/>
  <c r="L14" i="4"/>
  <c r="L13" i="4"/>
  <c r="L12" i="4"/>
  <c r="F19" i="4"/>
  <c r="E19" i="4"/>
  <c r="D19" i="4"/>
  <c r="C19" i="4"/>
  <c r="B19" i="4"/>
  <c r="K15" i="4"/>
  <c r="K14" i="4"/>
  <c r="K13" i="4"/>
  <c r="K12" i="4"/>
  <c r="F18" i="4"/>
  <c r="E18" i="4"/>
  <c r="D18" i="4"/>
  <c r="C18" i="4"/>
  <c r="B18" i="4"/>
  <c r="J15" i="4"/>
  <c r="J14" i="4"/>
  <c r="J13" i="4"/>
  <c r="J12" i="4"/>
  <c r="M3" i="4"/>
  <c r="C17" i="4"/>
  <c r="D17" i="4"/>
  <c r="E17" i="4"/>
  <c r="F17" i="4"/>
  <c r="G17" i="4"/>
  <c r="B17" i="4"/>
  <c r="I13" i="4"/>
  <c r="I14" i="4"/>
  <c r="I15" i="4"/>
  <c r="I12" i="4"/>
  <c r="M3" i="3"/>
  <c r="C19" i="3"/>
  <c r="D19" i="3"/>
  <c r="E19" i="3"/>
  <c r="F19" i="3"/>
  <c r="G19" i="3"/>
  <c r="B19" i="3"/>
  <c r="I15" i="3"/>
  <c r="I16" i="3"/>
  <c r="I17" i="3"/>
  <c r="I14" i="3"/>
  <c r="M3" i="2"/>
  <c r="C16" i="2"/>
  <c r="D16" i="2"/>
  <c r="E16" i="2"/>
  <c r="F16" i="2"/>
  <c r="G16" i="2"/>
  <c r="B16" i="2"/>
  <c r="H13" i="2"/>
  <c r="H14" i="2"/>
  <c r="H15" i="2"/>
  <c r="H12" i="2"/>
  <c r="L5" i="1"/>
  <c r="M5" i="1"/>
  <c r="N5" i="1"/>
  <c r="O5" i="1"/>
  <c r="P5" i="1"/>
  <c r="Q5" i="1"/>
  <c r="L6" i="1"/>
  <c r="M6" i="1"/>
  <c r="N6" i="1"/>
  <c r="O6" i="1"/>
  <c r="P6" i="1"/>
  <c r="Q6" i="1"/>
  <c r="L7" i="1"/>
  <c r="M7" i="1"/>
  <c r="N7" i="1"/>
  <c r="O7" i="1"/>
  <c r="P7" i="1"/>
  <c r="Q7" i="1"/>
  <c r="M4" i="1"/>
  <c r="N4" i="1"/>
  <c r="O4" i="1"/>
  <c r="P4" i="1"/>
  <c r="Q4" i="1"/>
  <c r="L4" i="1"/>
  <c r="D11" i="1"/>
  <c r="D10" i="1"/>
</calcChain>
</file>

<file path=xl/sharedStrings.xml><?xml version="1.0" encoding="utf-8"?>
<sst xmlns="http://schemas.openxmlformats.org/spreadsheetml/2006/main" count="128" uniqueCount="28">
  <si>
    <t>Gurugram</t>
  </si>
  <si>
    <t>Karnal</t>
  </si>
  <si>
    <t>Ambala</t>
  </si>
  <si>
    <t>Sirsa</t>
  </si>
  <si>
    <t>Kurukshetra</t>
  </si>
  <si>
    <t>Faridabad</t>
  </si>
  <si>
    <t>Panipat</t>
  </si>
  <si>
    <t>Rohtak</t>
  </si>
  <si>
    <t>Hisar</t>
  </si>
  <si>
    <t>Demand</t>
  </si>
  <si>
    <t>Supply</t>
  </si>
  <si>
    <t>Distance Matrix (approx. road km, via NH routes)</t>
  </si>
  <si>
    <t>Total Supply=</t>
  </si>
  <si>
    <t>Total Demand=</t>
  </si>
  <si>
    <t>Demand != Supply--&gt; Unbalanced --&gt; Add dummy demand for balancing</t>
  </si>
  <si>
    <t>Dummy</t>
  </si>
  <si>
    <t>Cost Matrix (₹/tonne, at ₹18/km/tonne freight rate)</t>
  </si>
  <si>
    <t>Optimization(minimizing cost using Excel-Solver)</t>
  </si>
  <si>
    <t>Total Cost=</t>
  </si>
  <si>
    <t>Optimization(minimizing cost using North_west Corner method)</t>
  </si>
  <si>
    <t>Remaining Supply</t>
  </si>
  <si>
    <t>Remaining Demand</t>
  </si>
  <si>
    <t>Optimization(minimizing cost using VAM method)</t>
  </si>
  <si>
    <t>Penalty</t>
  </si>
  <si>
    <t>Demand/Supply Allocations using VAM</t>
  </si>
  <si>
    <t>Demand/Supply Allocations using Solver</t>
  </si>
  <si>
    <t xml:space="preserve">Demand/Supply Allocation using NW-Corner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</si>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</sst>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4B4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ont="1" applyFill="1"/>
    <xf numFmtId="0" fontId="1" fillId="5" borderId="0" xfId="0" applyFont="1" applyFill="1" applyAlignment="1">
      <alignment horizontal="center"/>
    </xf>
    <xf numFmtId="0" fontId="0" fillId="3" borderId="0" xfId="0" applyFill="1"/>
    <xf numFmtId="0" fontId="1" fillId="6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3083-E09B-41BA-9B5F-11DA4CEA8E74}">
  <dimension ref="A1:R20"/>
  <sheetViews>
    <sheetView workbookViewId="0">
      <selection activeCell="K3" sqref="K3:R8"/>
    </sheetView>
  </sheetViews>
  <sheetFormatPr defaultRowHeight="14.5" x14ac:dyDescent="0.35"/>
  <cols>
    <col min="1" max="1" width="9.26953125" bestFit="1" customWidth="1"/>
    <col min="2" max="2" width="9.08984375" bestFit="1" customWidth="1"/>
    <col min="3" max="3" width="6.1796875" bestFit="1" customWidth="1"/>
    <col min="4" max="4" width="7.1796875" bestFit="1" customWidth="1"/>
    <col min="5" max="5" width="5" bestFit="1" customWidth="1"/>
    <col min="6" max="6" width="11" bestFit="1" customWidth="1"/>
    <col min="11" max="11" width="9.26953125" bestFit="1" customWidth="1"/>
    <col min="12" max="12" width="9.08984375" bestFit="1" customWidth="1"/>
    <col min="13" max="13" width="6.1796875" bestFit="1" customWidth="1"/>
    <col min="14" max="14" width="7.1796875" bestFit="1" customWidth="1"/>
    <col min="15" max="15" width="5" bestFit="1" customWidth="1"/>
    <col min="16" max="16" width="11" bestFit="1" customWidth="1"/>
    <col min="17" max="17" width="7.36328125" bestFit="1" customWidth="1"/>
    <col min="18" max="18" width="6.6328125" bestFit="1" customWidth="1"/>
  </cols>
  <sheetData>
    <row r="1" spans="1:18" x14ac:dyDescent="0.35">
      <c r="A1" s="6" t="s">
        <v>11</v>
      </c>
      <c r="B1" s="6"/>
      <c r="C1" s="6"/>
      <c r="D1" s="6"/>
      <c r="E1" s="6"/>
      <c r="F1" s="6"/>
      <c r="G1" s="6"/>
      <c r="K1" s="6" t="s">
        <v>16</v>
      </c>
      <c r="L1" s="6"/>
      <c r="M1" s="6"/>
      <c r="N1" s="6"/>
      <c r="O1" s="6"/>
      <c r="P1" s="6"/>
      <c r="Q1" s="6"/>
      <c r="R1" s="6"/>
    </row>
    <row r="3" spans="1:18" x14ac:dyDescent="0.35">
      <c r="A3" s="2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10</v>
      </c>
      <c r="K3" s="2"/>
      <c r="L3" s="2" t="s">
        <v>0</v>
      </c>
      <c r="M3" s="2" t="s">
        <v>1</v>
      </c>
      <c r="N3" s="2" t="s">
        <v>2</v>
      </c>
      <c r="O3" s="2" t="s">
        <v>3</v>
      </c>
      <c r="P3" s="2" t="s">
        <v>4</v>
      </c>
      <c r="Q3" s="2" t="s">
        <v>15</v>
      </c>
      <c r="R3" s="2" t="s">
        <v>10</v>
      </c>
    </row>
    <row r="4" spans="1:18" x14ac:dyDescent="0.35">
      <c r="A4" s="4" t="s">
        <v>5</v>
      </c>
      <c r="B4" s="3">
        <v>30</v>
      </c>
      <c r="C4" s="3">
        <v>157</v>
      </c>
      <c r="D4" s="3">
        <v>215</v>
      </c>
      <c r="E4" s="3">
        <v>280</v>
      </c>
      <c r="F4" s="3">
        <v>185</v>
      </c>
      <c r="G4" s="3">
        <v>250</v>
      </c>
      <c r="K4" s="4" t="s">
        <v>5</v>
      </c>
      <c r="L4" s="3">
        <f>18*B16</f>
        <v>540</v>
      </c>
      <c r="M4" s="3">
        <f t="shared" ref="M4:Q4" si="0">18*C16</f>
        <v>2826</v>
      </c>
      <c r="N4" s="3">
        <f t="shared" si="0"/>
        <v>3870</v>
      </c>
      <c r="O4" s="3">
        <f t="shared" si="0"/>
        <v>5040</v>
      </c>
      <c r="P4" s="3">
        <f t="shared" si="0"/>
        <v>3330</v>
      </c>
      <c r="Q4" s="3">
        <f t="shared" si="0"/>
        <v>0</v>
      </c>
      <c r="R4" s="3">
        <v>250</v>
      </c>
    </row>
    <row r="5" spans="1:18" x14ac:dyDescent="0.35">
      <c r="A5" s="4" t="s">
        <v>6</v>
      </c>
      <c r="B5" s="3">
        <v>110</v>
      </c>
      <c r="C5" s="3">
        <v>40</v>
      </c>
      <c r="D5" s="3">
        <v>95</v>
      </c>
      <c r="E5" s="3">
        <v>220</v>
      </c>
      <c r="F5" s="3">
        <v>70</v>
      </c>
      <c r="G5" s="3">
        <v>300</v>
      </c>
      <c r="K5" s="4" t="s">
        <v>6</v>
      </c>
      <c r="L5" s="3">
        <f t="shared" ref="L5:L7" si="1">18*B17</f>
        <v>1980</v>
      </c>
      <c r="M5" s="3">
        <f t="shared" ref="M5:M7" si="2">18*C17</f>
        <v>720</v>
      </c>
      <c r="N5" s="3">
        <f t="shared" ref="N5:N7" si="3">18*D17</f>
        <v>1710</v>
      </c>
      <c r="O5" s="3">
        <f t="shared" ref="O5:O7" si="4">18*E17</f>
        <v>3960</v>
      </c>
      <c r="P5" s="3">
        <f t="shared" ref="P5:P7" si="5">18*F17</f>
        <v>1260</v>
      </c>
      <c r="Q5" s="3">
        <f t="shared" ref="Q5:Q7" si="6">18*G17</f>
        <v>0</v>
      </c>
      <c r="R5" s="3">
        <v>300</v>
      </c>
    </row>
    <row r="6" spans="1:18" x14ac:dyDescent="0.35">
      <c r="A6" s="4" t="s">
        <v>7</v>
      </c>
      <c r="B6" s="3">
        <v>70</v>
      </c>
      <c r="C6" s="3">
        <v>120</v>
      </c>
      <c r="D6" s="3">
        <v>175</v>
      </c>
      <c r="E6" s="3">
        <v>160</v>
      </c>
      <c r="F6" s="3">
        <v>150</v>
      </c>
      <c r="G6" s="3">
        <v>150</v>
      </c>
      <c r="K6" s="4" t="s">
        <v>7</v>
      </c>
      <c r="L6" s="3">
        <f t="shared" si="1"/>
        <v>1260</v>
      </c>
      <c r="M6" s="3">
        <f t="shared" si="2"/>
        <v>2160</v>
      </c>
      <c r="N6" s="3">
        <f t="shared" si="3"/>
        <v>3150</v>
      </c>
      <c r="O6" s="3">
        <f t="shared" si="4"/>
        <v>2880</v>
      </c>
      <c r="P6" s="3">
        <f t="shared" si="5"/>
        <v>2700</v>
      </c>
      <c r="Q6" s="3">
        <f t="shared" si="6"/>
        <v>0</v>
      </c>
      <c r="R6" s="3">
        <v>150</v>
      </c>
    </row>
    <row r="7" spans="1:18" x14ac:dyDescent="0.35">
      <c r="A7" s="4" t="s">
        <v>8</v>
      </c>
      <c r="B7" s="3">
        <v>165</v>
      </c>
      <c r="C7" s="3">
        <v>165</v>
      </c>
      <c r="D7" s="3">
        <v>220</v>
      </c>
      <c r="E7" s="3">
        <v>90</v>
      </c>
      <c r="F7" s="3">
        <v>180</v>
      </c>
      <c r="G7" s="3">
        <v>200</v>
      </c>
      <c r="K7" s="4" t="s">
        <v>8</v>
      </c>
      <c r="L7" s="3">
        <f t="shared" si="1"/>
        <v>2970</v>
      </c>
      <c r="M7" s="3">
        <f t="shared" si="2"/>
        <v>2970</v>
      </c>
      <c r="N7" s="3">
        <f t="shared" si="3"/>
        <v>3960</v>
      </c>
      <c r="O7" s="3">
        <f t="shared" si="4"/>
        <v>1620</v>
      </c>
      <c r="P7" s="3">
        <f t="shared" si="5"/>
        <v>3240</v>
      </c>
      <c r="Q7" s="3">
        <f t="shared" si="6"/>
        <v>0</v>
      </c>
      <c r="R7" s="3">
        <v>200</v>
      </c>
    </row>
    <row r="8" spans="1:18" x14ac:dyDescent="0.35">
      <c r="A8" s="4" t="s">
        <v>9</v>
      </c>
      <c r="B8" s="3">
        <v>220</v>
      </c>
      <c r="C8" s="3">
        <v>180</v>
      </c>
      <c r="D8" s="3">
        <v>160</v>
      </c>
      <c r="E8" s="3">
        <v>140</v>
      </c>
      <c r="F8" s="3">
        <v>150</v>
      </c>
      <c r="K8" s="4" t="s">
        <v>9</v>
      </c>
      <c r="L8" s="3">
        <v>220</v>
      </c>
      <c r="M8" s="3">
        <v>180</v>
      </c>
      <c r="N8" s="3">
        <v>160</v>
      </c>
      <c r="O8" s="3">
        <v>140</v>
      </c>
      <c r="P8" s="3">
        <v>150</v>
      </c>
      <c r="Q8" s="3">
        <v>50</v>
      </c>
    </row>
    <row r="10" spans="1:18" x14ac:dyDescent="0.35">
      <c r="A10" s="4"/>
      <c r="B10" s="5" t="s">
        <v>12</v>
      </c>
      <c r="C10" s="5"/>
      <c r="D10">
        <f>SUM(G4:G7)</f>
        <v>900</v>
      </c>
    </row>
    <row r="11" spans="1:18" x14ac:dyDescent="0.35">
      <c r="B11" s="5" t="s">
        <v>13</v>
      </c>
      <c r="C11" s="5"/>
      <c r="D11">
        <f>SUM(B8:F8)</f>
        <v>850</v>
      </c>
    </row>
    <row r="12" spans="1:18" x14ac:dyDescent="0.35">
      <c r="B12" s="7" t="s">
        <v>14</v>
      </c>
      <c r="C12" s="7"/>
      <c r="D12" s="7"/>
      <c r="E12" s="7"/>
      <c r="F12" s="7"/>
      <c r="G12" s="7"/>
      <c r="H12" s="7"/>
      <c r="I12" s="7"/>
    </row>
    <row r="15" spans="1:18" x14ac:dyDescent="0.35">
      <c r="A15" s="2"/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15</v>
      </c>
      <c r="H15" s="2" t="s">
        <v>10</v>
      </c>
    </row>
    <row r="16" spans="1:18" x14ac:dyDescent="0.35">
      <c r="A16" s="4" t="s">
        <v>5</v>
      </c>
      <c r="B16" s="3">
        <v>30</v>
      </c>
      <c r="C16" s="3">
        <v>157</v>
      </c>
      <c r="D16" s="3">
        <v>215</v>
      </c>
      <c r="E16" s="3">
        <v>280</v>
      </c>
      <c r="F16" s="3">
        <v>185</v>
      </c>
      <c r="G16" s="3">
        <v>0</v>
      </c>
      <c r="H16" s="3">
        <v>250</v>
      </c>
    </row>
    <row r="17" spans="1:8" x14ac:dyDescent="0.35">
      <c r="A17" s="4" t="s">
        <v>6</v>
      </c>
      <c r="B17" s="3">
        <v>110</v>
      </c>
      <c r="C17" s="3">
        <v>40</v>
      </c>
      <c r="D17" s="3">
        <v>95</v>
      </c>
      <c r="E17" s="3">
        <v>220</v>
      </c>
      <c r="F17" s="3">
        <v>70</v>
      </c>
      <c r="G17" s="3">
        <v>0</v>
      </c>
      <c r="H17" s="3">
        <v>300</v>
      </c>
    </row>
    <row r="18" spans="1:8" x14ac:dyDescent="0.35">
      <c r="A18" s="4" t="s">
        <v>7</v>
      </c>
      <c r="B18" s="3">
        <v>70</v>
      </c>
      <c r="C18" s="3">
        <v>120</v>
      </c>
      <c r="D18" s="3">
        <v>175</v>
      </c>
      <c r="E18" s="3">
        <v>160</v>
      </c>
      <c r="F18" s="3">
        <v>150</v>
      </c>
      <c r="G18" s="3">
        <v>0</v>
      </c>
      <c r="H18" s="3">
        <v>150</v>
      </c>
    </row>
    <row r="19" spans="1:8" x14ac:dyDescent="0.35">
      <c r="A19" s="4" t="s">
        <v>8</v>
      </c>
      <c r="B19" s="3">
        <v>165</v>
      </c>
      <c r="C19" s="3">
        <v>165</v>
      </c>
      <c r="D19" s="3">
        <v>220</v>
      </c>
      <c r="E19" s="3">
        <v>90</v>
      </c>
      <c r="F19" s="3">
        <v>180</v>
      </c>
      <c r="G19" s="3">
        <v>0</v>
      </c>
      <c r="H19" s="3">
        <v>200</v>
      </c>
    </row>
    <row r="20" spans="1:8" x14ac:dyDescent="0.35">
      <c r="A20" s="4" t="s">
        <v>9</v>
      </c>
      <c r="B20" s="3">
        <v>220</v>
      </c>
      <c r="C20" s="3">
        <v>180</v>
      </c>
      <c r="D20" s="3">
        <v>160</v>
      </c>
      <c r="E20" s="3">
        <v>140</v>
      </c>
      <c r="F20" s="3">
        <v>150</v>
      </c>
      <c r="G20" s="3">
        <v>50</v>
      </c>
    </row>
  </sheetData>
  <mergeCells count="5">
    <mergeCell ref="A1:G1"/>
    <mergeCell ref="B10:C10"/>
    <mergeCell ref="B11:C11"/>
    <mergeCell ref="B12:I12"/>
    <mergeCell ref="K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8A4A-EF27-47BC-817F-24BD46B6F28B}">
  <dimension ref="A1:M16"/>
  <sheetViews>
    <sheetView workbookViewId="0">
      <selection activeCell="K14" sqref="K14"/>
    </sheetView>
  </sheetViews>
  <sheetFormatPr defaultRowHeight="14.5" x14ac:dyDescent="0.35"/>
  <cols>
    <col min="2" max="2" width="9.08984375" bestFit="1" customWidth="1"/>
    <col min="3" max="3" width="6.1796875" bestFit="1" customWidth="1"/>
    <col min="4" max="4" width="7.1796875" bestFit="1" customWidth="1"/>
    <col min="5" max="5" width="5" bestFit="1" customWidth="1"/>
    <col min="6" max="6" width="11" bestFit="1" customWidth="1"/>
  </cols>
  <sheetData>
    <row r="1" spans="1:13" x14ac:dyDescent="0.35">
      <c r="A1" s="13" t="s">
        <v>17</v>
      </c>
      <c r="B1" s="13"/>
      <c r="C1" s="13"/>
      <c r="D1" s="13"/>
      <c r="E1" s="13"/>
      <c r="F1" s="13"/>
      <c r="G1" s="13"/>
      <c r="H1" s="13"/>
    </row>
    <row r="3" spans="1:13" x14ac:dyDescent="0.3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15</v>
      </c>
      <c r="H3" s="1" t="s">
        <v>10</v>
      </c>
      <c r="K3" s="8" t="s">
        <v>18</v>
      </c>
      <c r="L3" s="8"/>
      <c r="M3" s="9">
        <f>SUMPRODUCT(B4:G7,B12:G15)</f>
        <v>1233000</v>
      </c>
    </row>
    <row r="4" spans="1:13" x14ac:dyDescent="0.35">
      <c r="A4" s="1" t="s">
        <v>5</v>
      </c>
      <c r="B4">
        <v>540</v>
      </c>
      <c r="C4">
        <v>2826</v>
      </c>
      <c r="D4">
        <v>3870</v>
      </c>
      <c r="E4">
        <v>5040</v>
      </c>
      <c r="F4">
        <v>3330</v>
      </c>
      <c r="G4">
        <v>0</v>
      </c>
      <c r="H4">
        <v>250</v>
      </c>
    </row>
    <row r="5" spans="1:13" x14ac:dyDescent="0.35">
      <c r="A5" s="1" t="s">
        <v>6</v>
      </c>
      <c r="B5">
        <v>1980</v>
      </c>
      <c r="C5">
        <v>720</v>
      </c>
      <c r="D5">
        <v>1710</v>
      </c>
      <c r="E5">
        <v>3960</v>
      </c>
      <c r="F5">
        <v>1260</v>
      </c>
      <c r="G5">
        <v>0</v>
      </c>
      <c r="H5">
        <v>300</v>
      </c>
    </row>
    <row r="6" spans="1:13" x14ac:dyDescent="0.35">
      <c r="A6" s="1" t="s">
        <v>7</v>
      </c>
      <c r="B6">
        <v>1260</v>
      </c>
      <c r="C6">
        <v>2160</v>
      </c>
      <c r="D6">
        <v>3150</v>
      </c>
      <c r="E6">
        <v>2880</v>
      </c>
      <c r="F6">
        <v>2700</v>
      </c>
      <c r="G6">
        <v>0</v>
      </c>
      <c r="H6">
        <v>150</v>
      </c>
    </row>
    <row r="7" spans="1:13" x14ac:dyDescent="0.35">
      <c r="A7" s="1" t="s">
        <v>8</v>
      </c>
      <c r="B7">
        <v>2970</v>
      </c>
      <c r="C7">
        <v>2970</v>
      </c>
      <c r="D7">
        <v>3960</v>
      </c>
      <c r="E7">
        <v>1620</v>
      </c>
      <c r="F7">
        <v>3240</v>
      </c>
      <c r="G7">
        <v>0</v>
      </c>
      <c r="H7">
        <v>200</v>
      </c>
    </row>
    <row r="8" spans="1:13" x14ac:dyDescent="0.35">
      <c r="A8" s="1" t="s">
        <v>9</v>
      </c>
      <c r="B8">
        <v>220</v>
      </c>
      <c r="C8">
        <v>180</v>
      </c>
      <c r="D8">
        <v>160</v>
      </c>
      <c r="E8">
        <v>140</v>
      </c>
      <c r="F8">
        <v>150</v>
      </c>
      <c r="G8">
        <v>50</v>
      </c>
    </row>
    <row r="10" spans="1:13" x14ac:dyDescent="0.35">
      <c r="A10" s="12" t="s">
        <v>25</v>
      </c>
      <c r="B10" s="12"/>
      <c r="C10" s="12"/>
      <c r="D10" s="12"/>
      <c r="E10" s="12"/>
      <c r="F10" s="12"/>
      <c r="G10" s="12"/>
      <c r="H10" s="12"/>
    </row>
    <row r="11" spans="1:13" x14ac:dyDescent="0.35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15</v>
      </c>
      <c r="H11" s="1" t="s">
        <v>10</v>
      </c>
    </row>
    <row r="12" spans="1:13" x14ac:dyDescent="0.35">
      <c r="A12" s="1" t="s">
        <v>5</v>
      </c>
      <c r="B12">
        <v>220</v>
      </c>
      <c r="C12">
        <v>0</v>
      </c>
      <c r="D12">
        <v>0</v>
      </c>
      <c r="E12">
        <v>0</v>
      </c>
      <c r="F12">
        <v>0</v>
      </c>
      <c r="G12">
        <v>30</v>
      </c>
      <c r="H12">
        <f>SUM(B12:G12)</f>
        <v>250</v>
      </c>
    </row>
    <row r="13" spans="1:13" x14ac:dyDescent="0.35">
      <c r="A13" s="1" t="s">
        <v>6</v>
      </c>
      <c r="B13">
        <v>0</v>
      </c>
      <c r="C13">
        <v>140</v>
      </c>
      <c r="D13">
        <v>160</v>
      </c>
      <c r="E13">
        <v>0</v>
      </c>
      <c r="F13">
        <v>0</v>
      </c>
      <c r="G13">
        <v>0</v>
      </c>
      <c r="H13">
        <f t="shared" ref="H13:H15" si="0">SUM(B13:G13)</f>
        <v>300</v>
      </c>
    </row>
    <row r="14" spans="1:13" x14ac:dyDescent="0.35">
      <c r="A14" s="1" t="s">
        <v>7</v>
      </c>
      <c r="B14">
        <v>0</v>
      </c>
      <c r="C14">
        <v>40</v>
      </c>
      <c r="D14">
        <v>0</v>
      </c>
      <c r="E14">
        <v>0</v>
      </c>
      <c r="F14">
        <v>110</v>
      </c>
      <c r="G14">
        <v>0</v>
      </c>
      <c r="H14">
        <f t="shared" si="0"/>
        <v>150</v>
      </c>
    </row>
    <row r="15" spans="1:13" x14ac:dyDescent="0.35">
      <c r="A15" s="1" t="s">
        <v>8</v>
      </c>
      <c r="B15">
        <v>0</v>
      </c>
      <c r="C15">
        <v>0</v>
      </c>
      <c r="D15">
        <v>0</v>
      </c>
      <c r="E15">
        <v>140</v>
      </c>
      <c r="F15">
        <v>40</v>
      </c>
      <c r="G15">
        <v>20</v>
      </c>
      <c r="H15">
        <f t="shared" si="0"/>
        <v>200</v>
      </c>
    </row>
    <row r="16" spans="1:13" x14ac:dyDescent="0.35">
      <c r="A16" s="1" t="s">
        <v>9</v>
      </c>
      <c r="B16">
        <f>SUM(B12:B15)</f>
        <v>220</v>
      </c>
      <c r="C16">
        <f t="shared" ref="C16:G16" si="1">SUM(C12:C15)</f>
        <v>180</v>
      </c>
      <c r="D16">
        <f t="shared" si="1"/>
        <v>160</v>
      </c>
      <c r="E16">
        <f t="shared" si="1"/>
        <v>140</v>
      </c>
      <c r="F16">
        <f t="shared" si="1"/>
        <v>150</v>
      </c>
      <c r="G16">
        <f t="shared" si="1"/>
        <v>50</v>
      </c>
    </row>
  </sheetData>
  <mergeCells count="3">
    <mergeCell ref="A1:H1"/>
    <mergeCell ref="K3:L3"/>
    <mergeCell ref="A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90549-1C5D-4B95-8DFC-548201D446BF}">
  <dimension ref="A1:M19"/>
  <sheetViews>
    <sheetView topLeftCell="A4" workbookViewId="0">
      <selection activeCell="I20" sqref="I20"/>
    </sheetView>
  </sheetViews>
  <sheetFormatPr defaultRowHeight="14.5" x14ac:dyDescent="0.35"/>
  <cols>
    <col min="1" max="1" width="17.453125" bestFit="1" customWidth="1"/>
    <col min="2" max="2" width="9.08984375" bestFit="1" customWidth="1"/>
    <col min="9" max="9" width="16.08984375" bestFit="1" customWidth="1"/>
  </cols>
  <sheetData>
    <row r="1" spans="1:13" x14ac:dyDescent="0.35">
      <c r="A1" s="13" t="s">
        <v>19</v>
      </c>
      <c r="B1" s="13"/>
      <c r="C1" s="13"/>
      <c r="D1" s="13"/>
      <c r="E1" s="13"/>
      <c r="F1" s="13"/>
      <c r="G1" s="13"/>
      <c r="H1" s="13"/>
    </row>
    <row r="3" spans="1:13" x14ac:dyDescent="0.35">
      <c r="K3" s="7" t="s">
        <v>18</v>
      </c>
      <c r="L3" s="7"/>
      <c r="M3" s="11">
        <f>SUMPRODUCT(B5:G8,B14:G17)</f>
        <v>1488780</v>
      </c>
    </row>
    <row r="4" spans="1:13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15</v>
      </c>
      <c r="H4" s="1" t="s">
        <v>10</v>
      </c>
      <c r="I4" s="1"/>
    </row>
    <row r="5" spans="1:13" x14ac:dyDescent="0.35">
      <c r="A5" s="1" t="s">
        <v>5</v>
      </c>
      <c r="B5">
        <v>540</v>
      </c>
      <c r="C5">
        <v>2826</v>
      </c>
      <c r="D5">
        <v>3870</v>
      </c>
      <c r="E5">
        <v>5040</v>
      </c>
      <c r="F5">
        <v>3330</v>
      </c>
      <c r="G5">
        <v>0</v>
      </c>
      <c r="H5">
        <v>250</v>
      </c>
    </row>
    <row r="6" spans="1:13" x14ac:dyDescent="0.35">
      <c r="A6" s="1" t="s">
        <v>6</v>
      </c>
      <c r="B6">
        <v>1980</v>
      </c>
      <c r="C6">
        <v>720</v>
      </c>
      <c r="D6">
        <v>1710</v>
      </c>
      <c r="E6">
        <v>3960</v>
      </c>
      <c r="F6">
        <v>1260</v>
      </c>
      <c r="G6">
        <v>0</v>
      </c>
      <c r="H6">
        <v>300</v>
      </c>
    </row>
    <row r="7" spans="1:13" x14ac:dyDescent="0.35">
      <c r="A7" s="1" t="s">
        <v>7</v>
      </c>
      <c r="B7">
        <v>1260</v>
      </c>
      <c r="C7">
        <v>2160</v>
      </c>
      <c r="D7">
        <v>3150</v>
      </c>
      <c r="E7">
        <v>2880</v>
      </c>
      <c r="F7">
        <v>2700</v>
      </c>
      <c r="G7">
        <v>0</v>
      </c>
      <c r="H7">
        <v>150</v>
      </c>
    </row>
    <row r="8" spans="1:13" x14ac:dyDescent="0.35">
      <c r="A8" s="1" t="s">
        <v>8</v>
      </c>
      <c r="B8">
        <v>2970</v>
      </c>
      <c r="C8">
        <v>2970</v>
      </c>
      <c r="D8">
        <v>3960</v>
      </c>
      <c r="E8">
        <v>1620</v>
      </c>
      <c r="F8">
        <v>3240</v>
      </c>
      <c r="G8">
        <v>0</v>
      </c>
      <c r="H8">
        <v>200</v>
      </c>
    </row>
    <row r="9" spans="1:13" x14ac:dyDescent="0.35">
      <c r="A9" s="1" t="s">
        <v>9</v>
      </c>
      <c r="B9">
        <v>220</v>
      </c>
      <c r="C9">
        <v>180</v>
      </c>
      <c r="D9">
        <v>160</v>
      </c>
      <c r="E9">
        <v>140</v>
      </c>
      <c r="F9">
        <v>150</v>
      </c>
      <c r="G9">
        <v>50</v>
      </c>
    </row>
    <row r="10" spans="1:13" x14ac:dyDescent="0.35">
      <c r="A10" s="1"/>
    </row>
    <row r="12" spans="1:13" x14ac:dyDescent="0.35">
      <c r="A12" s="10" t="s">
        <v>26</v>
      </c>
      <c r="B12" s="10"/>
      <c r="C12" s="10"/>
      <c r="D12" s="10"/>
      <c r="E12" s="10"/>
      <c r="F12" s="10"/>
      <c r="G12" s="10"/>
      <c r="H12" s="10"/>
      <c r="I12" s="10"/>
    </row>
    <row r="13" spans="1:13" x14ac:dyDescent="0.35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15</v>
      </c>
      <c r="H13" s="1" t="s">
        <v>10</v>
      </c>
      <c r="I13" s="1" t="s">
        <v>20</v>
      </c>
    </row>
    <row r="14" spans="1:13" x14ac:dyDescent="0.35">
      <c r="A14" s="1" t="s">
        <v>5</v>
      </c>
      <c r="B14">
        <v>220</v>
      </c>
      <c r="C14">
        <v>30</v>
      </c>
      <c r="D14">
        <v>0</v>
      </c>
      <c r="E14">
        <v>0</v>
      </c>
      <c r="F14">
        <v>0</v>
      </c>
      <c r="G14">
        <v>0</v>
      </c>
      <c r="H14">
        <v>250</v>
      </c>
      <c r="I14">
        <f>H14-SUM(B14:G14)</f>
        <v>0</v>
      </c>
    </row>
    <row r="15" spans="1:13" x14ac:dyDescent="0.35">
      <c r="A15" s="1" t="s">
        <v>6</v>
      </c>
      <c r="B15">
        <v>0</v>
      </c>
      <c r="C15">
        <v>150</v>
      </c>
      <c r="D15">
        <v>150</v>
      </c>
      <c r="E15">
        <v>0</v>
      </c>
      <c r="F15">
        <v>0</v>
      </c>
      <c r="G15">
        <v>0</v>
      </c>
      <c r="H15">
        <v>300</v>
      </c>
      <c r="I15">
        <f t="shared" ref="I15:I17" si="0">H15-SUM(B15:G15)</f>
        <v>0</v>
      </c>
    </row>
    <row r="16" spans="1:13" x14ac:dyDescent="0.35">
      <c r="A16" s="1" t="s">
        <v>7</v>
      </c>
      <c r="B16">
        <v>0</v>
      </c>
      <c r="C16">
        <v>0</v>
      </c>
      <c r="D16">
        <v>10</v>
      </c>
      <c r="E16">
        <v>140</v>
      </c>
      <c r="F16">
        <v>0</v>
      </c>
      <c r="G16">
        <v>0</v>
      </c>
      <c r="H16">
        <v>150</v>
      </c>
      <c r="I16">
        <f t="shared" si="0"/>
        <v>0</v>
      </c>
    </row>
    <row r="17" spans="1:9" x14ac:dyDescent="0.35">
      <c r="A17" s="1" t="s">
        <v>8</v>
      </c>
      <c r="B17">
        <v>0</v>
      </c>
      <c r="C17">
        <v>0</v>
      </c>
      <c r="D17">
        <v>0</v>
      </c>
      <c r="E17">
        <v>0</v>
      </c>
      <c r="F17">
        <v>150</v>
      </c>
      <c r="G17">
        <v>50</v>
      </c>
      <c r="H17">
        <v>200</v>
      </c>
      <c r="I17">
        <f t="shared" si="0"/>
        <v>0</v>
      </c>
    </row>
    <row r="18" spans="1:9" x14ac:dyDescent="0.35">
      <c r="A18" s="1" t="s">
        <v>9</v>
      </c>
      <c r="B18">
        <v>220</v>
      </c>
      <c r="C18">
        <v>180</v>
      </c>
      <c r="D18">
        <v>160</v>
      </c>
      <c r="E18">
        <v>140</v>
      </c>
      <c r="F18">
        <v>150</v>
      </c>
      <c r="G18">
        <v>50</v>
      </c>
    </row>
    <row r="19" spans="1:9" x14ac:dyDescent="0.35">
      <c r="A19" s="1" t="s">
        <v>21</v>
      </c>
      <c r="B19">
        <f>B18-SUM(B14:B17)</f>
        <v>0</v>
      </c>
      <c r="C19">
        <f t="shared" ref="C19:G19" si="1">C18-SUM(C14:C17)</f>
        <v>0</v>
      </c>
      <c r="D19">
        <f t="shared" si="1"/>
        <v>0</v>
      </c>
      <c r="E19">
        <f t="shared" si="1"/>
        <v>0</v>
      </c>
      <c r="F19">
        <f t="shared" si="1"/>
        <v>0</v>
      </c>
      <c r="G19">
        <f t="shared" si="1"/>
        <v>0</v>
      </c>
    </row>
  </sheetData>
  <mergeCells count="3">
    <mergeCell ref="A1:H1"/>
    <mergeCell ref="A12:I12"/>
    <mergeCell ref="K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D68A-0BB7-4219-A413-31F5FC9755A7}">
  <dimension ref="A1:R26"/>
  <sheetViews>
    <sheetView tabSelected="1" topLeftCell="A19" workbookViewId="0">
      <selection activeCell="M4" sqref="M4"/>
    </sheetView>
  </sheetViews>
  <sheetFormatPr defaultRowHeight="14.5" x14ac:dyDescent="0.35"/>
  <cols>
    <col min="1" max="1" width="17.453125" bestFit="1" customWidth="1"/>
    <col min="2" max="2" width="9.08984375" bestFit="1" customWidth="1"/>
    <col min="3" max="3" width="6.1796875" bestFit="1" customWidth="1"/>
    <col min="4" max="4" width="7.1796875" bestFit="1" customWidth="1"/>
    <col min="5" max="5" width="5" bestFit="1" customWidth="1"/>
    <col min="6" max="6" width="11" bestFit="1" customWidth="1"/>
    <col min="7" max="7" width="7.36328125" bestFit="1" customWidth="1"/>
    <col min="8" max="8" width="6.6328125" bestFit="1" customWidth="1"/>
    <col min="9" max="9" width="16.08984375" bestFit="1" customWidth="1"/>
  </cols>
  <sheetData>
    <row r="1" spans="1:18" x14ac:dyDescent="0.35">
      <c r="A1" s="13" t="s">
        <v>22</v>
      </c>
      <c r="B1" s="13"/>
      <c r="C1" s="13"/>
      <c r="D1" s="13"/>
      <c r="E1" s="13"/>
      <c r="F1" s="13"/>
      <c r="G1" s="13"/>
      <c r="H1" s="13"/>
    </row>
    <row r="3" spans="1:18" x14ac:dyDescent="0.35">
      <c r="A3" s="19"/>
      <c r="B3" s="18" t="s">
        <v>0</v>
      </c>
      <c r="C3" s="18" t="s">
        <v>1</v>
      </c>
      <c r="D3" s="18" t="s">
        <v>2</v>
      </c>
      <c r="E3" s="18" t="s">
        <v>3</v>
      </c>
      <c r="F3" s="18" t="s">
        <v>4</v>
      </c>
      <c r="G3" s="18" t="s">
        <v>15</v>
      </c>
      <c r="H3" s="18" t="s">
        <v>10</v>
      </c>
      <c r="K3" s="16" t="s">
        <v>18</v>
      </c>
      <c r="L3" s="16"/>
      <c r="M3" s="17">
        <f>SUMPRODUCT(B4:G7,B12:G15)</f>
        <v>1235700</v>
      </c>
    </row>
    <row r="4" spans="1:18" x14ac:dyDescent="0.35">
      <c r="A4" s="18" t="s">
        <v>5</v>
      </c>
      <c r="B4" s="19">
        <v>540</v>
      </c>
      <c r="C4" s="19">
        <v>2826</v>
      </c>
      <c r="D4" s="19">
        <v>3870</v>
      </c>
      <c r="E4" s="19">
        <v>5040</v>
      </c>
      <c r="F4" s="19">
        <v>3330</v>
      </c>
      <c r="G4" s="19">
        <v>0</v>
      </c>
      <c r="H4" s="19">
        <v>250</v>
      </c>
    </row>
    <row r="5" spans="1:18" x14ac:dyDescent="0.35">
      <c r="A5" s="18" t="s">
        <v>6</v>
      </c>
      <c r="B5" s="19">
        <v>1980</v>
      </c>
      <c r="C5" s="19">
        <v>720</v>
      </c>
      <c r="D5" s="19">
        <v>1710</v>
      </c>
      <c r="E5" s="19">
        <v>3960</v>
      </c>
      <c r="F5" s="19">
        <v>1260</v>
      </c>
      <c r="G5" s="19">
        <v>0</v>
      </c>
      <c r="H5" s="19">
        <v>300</v>
      </c>
    </row>
    <row r="6" spans="1:18" x14ac:dyDescent="0.35">
      <c r="A6" s="18" t="s">
        <v>7</v>
      </c>
      <c r="B6" s="19">
        <v>1260</v>
      </c>
      <c r="C6" s="19">
        <v>2160</v>
      </c>
      <c r="D6" s="19">
        <v>3150</v>
      </c>
      <c r="E6" s="19">
        <v>2880</v>
      </c>
      <c r="F6" s="19">
        <v>2700</v>
      </c>
      <c r="G6" s="19">
        <v>0</v>
      </c>
      <c r="H6" s="19">
        <v>150</v>
      </c>
    </row>
    <row r="7" spans="1:18" x14ac:dyDescent="0.35">
      <c r="A7" s="18" t="s">
        <v>8</v>
      </c>
      <c r="B7" s="19">
        <v>2970</v>
      </c>
      <c r="C7" s="19">
        <v>2970</v>
      </c>
      <c r="D7" s="19">
        <v>3960</v>
      </c>
      <c r="E7" s="19">
        <v>1620</v>
      </c>
      <c r="F7" s="19">
        <v>3240</v>
      </c>
      <c r="G7" s="19">
        <v>0</v>
      </c>
      <c r="H7" s="19">
        <v>200</v>
      </c>
    </row>
    <row r="8" spans="1:18" x14ac:dyDescent="0.35">
      <c r="A8" s="18" t="s">
        <v>9</v>
      </c>
      <c r="B8" s="19">
        <v>220</v>
      </c>
      <c r="C8" s="19">
        <v>180</v>
      </c>
      <c r="D8" s="19">
        <v>160</v>
      </c>
      <c r="E8" s="19">
        <v>140</v>
      </c>
      <c r="F8" s="19">
        <v>150</v>
      </c>
      <c r="G8" s="19">
        <v>50</v>
      </c>
      <c r="H8" s="19"/>
    </row>
    <row r="9" spans="1:18" x14ac:dyDescent="0.35">
      <c r="A9" s="19"/>
      <c r="B9" s="19"/>
      <c r="C9" s="19"/>
      <c r="D9" s="19"/>
      <c r="E9" s="19"/>
      <c r="F9" s="19"/>
      <c r="G9" s="19"/>
      <c r="H9" s="19"/>
    </row>
    <row r="10" spans="1:18" x14ac:dyDescent="0.35">
      <c r="A10" s="12" t="s">
        <v>24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8" x14ac:dyDescent="0.35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15</v>
      </c>
      <c r="H11" s="1" t="s">
        <v>10</v>
      </c>
      <c r="I11" s="1" t="s">
        <v>20</v>
      </c>
      <c r="J11" s="14" t="s">
        <v>23</v>
      </c>
      <c r="K11" s="15"/>
      <c r="L11" s="15"/>
      <c r="M11" s="15"/>
      <c r="N11" s="15"/>
      <c r="O11" s="15"/>
      <c r="P11" s="15"/>
      <c r="Q11" s="15"/>
      <c r="R11" s="15"/>
    </row>
    <row r="12" spans="1:18" x14ac:dyDescent="0.35">
      <c r="A12" s="1" t="s">
        <v>5</v>
      </c>
      <c r="B12">
        <v>220</v>
      </c>
      <c r="C12">
        <v>0</v>
      </c>
      <c r="D12">
        <v>0</v>
      </c>
      <c r="E12">
        <v>0</v>
      </c>
      <c r="F12">
        <v>30</v>
      </c>
      <c r="G12">
        <v>0</v>
      </c>
      <c r="H12">
        <v>250</v>
      </c>
      <c r="I12">
        <f>H12-SUM(B12:G12)</f>
        <v>0</v>
      </c>
      <c r="J12" s="15">
        <f>B4-G4</f>
        <v>540</v>
      </c>
      <c r="K12" s="15">
        <f>VAM_method!C4-VAM_method!B4</f>
        <v>2286</v>
      </c>
      <c r="L12" s="15">
        <f>F4-C4</f>
        <v>504</v>
      </c>
      <c r="M12" s="15">
        <f>D4-F4</f>
        <v>540</v>
      </c>
      <c r="N12" s="15">
        <f>D4-F4</f>
        <v>540</v>
      </c>
      <c r="O12" s="15">
        <f>D4-F4</f>
        <v>540</v>
      </c>
      <c r="P12" s="15">
        <f>F4</f>
        <v>3330</v>
      </c>
      <c r="Q12" s="15"/>
      <c r="R12" s="15"/>
    </row>
    <row r="13" spans="1:18" x14ac:dyDescent="0.35">
      <c r="A13" s="1" t="s">
        <v>6</v>
      </c>
      <c r="B13">
        <v>0</v>
      </c>
      <c r="C13">
        <v>180</v>
      </c>
      <c r="D13">
        <v>120</v>
      </c>
      <c r="E13">
        <v>0</v>
      </c>
      <c r="F13">
        <v>0</v>
      </c>
      <c r="G13">
        <v>0</v>
      </c>
      <c r="H13">
        <v>300</v>
      </c>
      <c r="I13">
        <f t="shared" ref="I13:I15" si="0">H13-SUM(B13:G13)</f>
        <v>0</v>
      </c>
      <c r="J13" s="15">
        <f>C5-G5</f>
        <v>720</v>
      </c>
      <c r="K13" s="15">
        <f>F5-C5</f>
        <v>540</v>
      </c>
      <c r="L13" s="15">
        <f>F5-C5</f>
        <v>540</v>
      </c>
      <c r="M13" s="15">
        <f>D5-F5</f>
        <v>450</v>
      </c>
      <c r="N13" s="15">
        <f>D5-F5</f>
        <v>450</v>
      </c>
      <c r="O13" s="15"/>
      <c r="P13" s="15"/>
      <c r="Q13" s="15"/>
      <c r="R13" s="15"/>
    </row>
    <row r="14" spans="1:18" x14ac:dyDescent="0.35">
      <c r="A14" s="1" t="s">
        <v>7</v>
      </c>
      <c r="B14">
        <v>0</v>
      </c>
      <c r="C14">
        <v>0</v>
      </c>
      <c r="D14">
        <v>40</v>
      </c>
      <c r="E14">
        <v>0</v>
      </c>
      <c r="F14">
        <v>110</v>
      </c>
      <c r="G14">
        <v>0</v>
      </c>
      <c r="H14">
        <v>150</v>
      </c>
      <c r="I14">
        <f t="shared" si="0"/>
        <v>0</v>
      </c>
      <c r="J14" s="15">
        <f>B6-G6</f>
        <v>1260</v>
      </c>
      <c r="K14" s="15">
        <f>C6-B6</f>
        <v>900</v>
      </c>
      <c r="L14" s="15">
        <f>F6-C6</f>
        <v>540</v>
      </c>
      <c r="M14" s="15">
        <f>E6-F6</f>
        <v>180</v>
      </c>
      <c r="N14" s="15">
        <f>D6-F6</f>
        <v>450</v>
      </c>
      <c r="O14" s="15">
        <f>D6-F6</f>
        <v>450</v>
      </c>
      <c r="P14" s="15">
        <f>F6</f>
        <v>2700</v>
      </c>
      <c r="Q14" s="15">
        <f>F6</f>
        <v>2700</v>
      </c>
      <c r="R14" s="15"/>
    </row>
    <row r="15" spans="1:18" x14ac:dyDescent="0.35">
      <c r="A15" s="1" t="s">
        <v>8</v>
      </c>
      <c r="B15">
        <v>0</v>
      </c>
      <c r="C15">
        <v>0</v>
      </c>
      <c r="D15">
        <v>0</v>
      </c>
      <c r="E15">
        <v>140</v>
      </c>
      <c r="F15">
        <v>10</v>
      </c>
      <c r="G15">
        <v>50</v>
      </c>
      <c r="H15">
        <v>200</v>
      </c>
      <c r="I15">
        <f t="shared" si="0"/>
        <v>0</v>
      </c>
      <c r="J15" s="15">
        <f>E7-G7</f>
        <v>1620</v>
      </c>
      <c r="K15" s="15">
        <f>B7-E7</f>
        <v>1350</v>
      </c>
      <c r="L15" s="15">
        <f>C7-E7</f>
        <v>1350</v>
      </c>
      <c r="M15" s="15">
        <f>F7-E7</f>
        <v>1620</v>
      </c>
      <c r="N15" s="15">
        <f>D7-F7</f>
        <v>720</v>
      </c>
      <c r="O15" s="15">
        <f>D7-F7</f>
        <v>720</v>
      </c>
      <c r="P15" s="15">
        <f>F7</f>
        <v>3240</v>
      </c>
      <c r="Q15" s="15">
        <f>F7</f>
        <v>3240</v>
      </c>
      <c r="R15" s="15"/>
    </row>
    <row r="16" spans="1:18" x14ac:dyDescent="0.35">
      <c r="A16" s="1" t="s">
        <v>9</v>
      </c>
      <c r="B16">
        <v>220</v>
      </c>
      <c r="C16">
        <v>180</v>
      </c>
      <c r="D16">
        <v>160</v>
      </c>
      <c r="E16">
        <v>140</v>
      </c>
      <c r="F16">
        <v>150</v>
      </c>
      <c r="G16">
        <v>50</v>
      </c>
    </row>
    <row r="17" spans="1:8" x14ac:dyDescent="0.35">
      <c r="A17" s="1" t="s">
        <v>21</v>
      </c>
      <c r="B17">
        <f>B16-SUM(B12:B15)</f>
        <v>0</v>
      </c>
      <c r="C17">
        <f t="shared" ref="C17:G17" si="1">C16-SUM(C12:C15)</f>
        <v>0</v>
      </c>
      <c r="D17">
        <f t="shared" si="1"/>
        <v>0</v>
      </c>
      <c r="E17">
        <f t="shared" si="1"/>
        <v>0</v>
      </c>
      <c r="F17">
        <f t="shared" si="1"/>
        <v>0</v>
      </c>
      <c r="G17">
        <f t="shared" si="1"/>
        <v>0</v>
      </c>
    </row>
    <row r="18" spans="1:8" x14ac:dyDescent="0.35">
      <c r="A18" s="14" t="s">
        <v>23</v>
      </c>
      <c r="B18" s="15">
        <f>B6-B4</f>
        <v>720</v>
      </c>
      <c r="C18" s="15">
        <f>C6-C5</f>
        <v>1440</v>
      </c>
      <c r="D18" s="15">
        <f>D6-D5</f>
        <v>1440</v>
      </c>
      <c r="E18" s="15">
        <f>E6-E7</f>
        <v>1260</v>
      </c>
      <c r="F18" s="15">
        <f>F6-F5</f>
        <v>1440</v>
      </c>
      <c r="G18" s="15">
        <v>0</v>
      </c>
    </row>
    <row r="19" spans="1:8" x14ac:dyDescent="0.35">
      <c r="A19" s="15"/>
      <c r="B19" s="15">
        <f>B6-B4</f>
        <v>720</v>
      </c>
      <c r="C19" s="15">
        <f>C6-C5</f>
        <v>1440</v>
      </c>
      <c r="D19" s="15">
        <f>D6-D5</f>
        <v>1440</v>
      </c>
      <c r="E19" s="15">
        <f>E6-E7</f>
        <v>1260</v>
      </c>
      <c r="F19" s="15">
        <f>F6-F5</f>
        <v>1440</v>
      </c>
      <c r="G19" s="15"/>
      <c r="H19" t="s">
        <v>27</v>
      </c>
    </row>
    <row r="20" spans="1:8" x14ac:dyDescent="0.35">
      <c r="A20" s="15"/>
      <c r="B20" s="15"/>
      <c r="C20" s="15">
        <f>C6-C5</f>
        <v>1440</v>
      </c>
      <c r="D20" s="15">
        <f>D6-D5</f>
        <v>1440</v>
      </c>
      <c r="E20" s="15">
        <f>E6-E7</f>
        <v>1260</v>
      </c>
      <c r="F20" s="15">
        <f>F6-F5</f>
        <v>1440</v>
      </c>
      <c r="G20" s="15"/>
    </row>
    <row r="21" spans="1:8" x14ac:dyDescent="0.35">
      <c r="A21" s="15"/>
      <c r="B21" s="15"/>
      <c r="C21" s="15"/>
      <c r="D21" s="15">
        <f>D6-D5</f>
        <v>1440</v>
      </c>
      <c r="E21" s="15">
        <f>E6-E7</f>
        <v>1260</v>
      </c>
      <c r="F21" s="15">
        <f>F6-F5</f>
        <v>1440</v>
      </c>
      <c r="G21" s="15"/>
    </row>
    <row r="22" spans="1:8" x14ac:dyDescent="0.35">
      <c r="A22" s="15"/>
      <c r="B22" s="15"/>
      <c r="C22" s="15"/>
      <c r="D22" s="15">
        <f>D6-D5</f>
        <v>1440</v>
      </c>
      <c r="E22" s="15"/>
      <c r="F22" s="15">
        <f>F6-F5</f>
        <v>1440</v>
      </c>
      <c r="G22" s="15"/>
    </row>
    <row r="23" spans="1:8" x14ac:dyDescent="0.35">
      <c r="A23" s="15"/>
      <c r="B23" s="15"/>
      <c r="C23" s="15"/>
      <c r="D23" s="15">
        <f>D4-D6</f>
        <v>720</v>
      </c>
      <c r="E23" s="15"/>
      <c r="F23" s="15">
        <f>F7-F6</f>
        <v>540</v>
      </c>
      <c r="G23" s="15"/>
    </row>
    <row r="24" spans="1:8" x14ac:dyDescent="0.35">
      <c r="A24" s="15"/>
      <c r="B24" s="15"/>
      <c r="C24" s="15"/>
      <c r="D24" s="15"/>
      <c r="E24" s="15"/>
      <c r="F24" s="15">
        <f>F7-F6</f>
        <v>540</v>
      </c>
      <c r="G24" s="15"/>
    </row>
    <row r="25" spans="1:8" x14ac:dyDescent="0.35">
      <c r="A25" s="15"/>
      <c r="B25" s="15"/>
      <c r="C25" s="15"/>
      <c r="D25" s="15"/>
      <c r="E25" s="15"/>
      <c r="F25" s="15">
        <f>F7-F6</f>
        <v>540</v>
      </c>
      <c r="G25" s="15"/>
    </row>
    <row r="26" spans="1:8" x14ac:dyDescent="0.35">
      <c r="A26" s="15"/>
      <c r="B26" s="15"/>
      <c r="C26" s="15"/>
      <c r="D26" s="15"/>
      <c r="E26" s="15"/>
      <c r="F26" s="15"/>
      <c r="G26" s="15"/>
    </row>
  </sheetData>
  <mergeCells count="3">
    <mergeCell ref="A1:H1"/>
    <mergeCell ref="A10:J10"/>
    <mergeCell ref="K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Solver_method</vt:lpstr>
      <vt:lpstr>NW_method</vt:lpstr>
      <vt:lpstr>VAM_method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AGARWAL</dc:creator>
  <cp:lastModifiedBy>LAKSHAY AGARWAL</cp:lastModifiedBy>
  <dcterms:created xsi:type="dcterms:W3CDTF">2026-08-21T13:52:55Z</dcterms:created>
  <dcterms:modified xsi:type="dcterms:W3CDTF">2026-08-23T08:12:39Z</dcterms:modified>
</cp:coreProperties>
</file>